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cfiscalcombr-my.sharepoint.com/personal/sacfiscal_sacfiscal_com_br/Documents/SACFiscal/ComunidadeArquiteturaFiscal/Encontro Mensal/Abril25/Dia29/"/>
    </mc:Choice>
  </mc:AlternateContent>
  <xr:revisionPtr revIDLastSave="0" documentId="8_{42635CE9-1E5F-41DD-B952-18CD23E35CDB}" xr6:coauthVersionLast="47" xr6:coauthVersionMax="47" xr10:uidLastSave="{00000000-0000-0000-0000-000000000000}"/>
  <bookViews>
    <workbookView xWindow="-120" yWindow="-120" windowWidth="51840" windowHeight="21240" xr2:uid="{AEAD9E8D-AC99-4929-A2EF-16DEAD64AF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D7" i="1" s="1"/>
  <c r="C6" i="1"/>
  <c r="D6" i="1" s="1"/>
  <c r="C5" i="1"/>
  <c r="D5" i="1" s="1"/>
  <c r="C10" i="1"/>
  <c r="D10" i="1" s="1"/>
  <c r="D8" i="1" l="1"/>
  <c r="C9" i="1" l="1"/>
  <c r="D9" i="1" s="1"/>
  <c r="D12" i="1" s="1"/>
</calcChain>
</file>

<file path=xl/sharedStrings.xml><?xml version="1.0" encoding="utf-8"?>
<sst xmlns="http://schemas.openxmlformats.org/spreadsheetml/2006/main" count="19" uniqueCount="19">
  <si>
    <t>VALOR DA MERCADORIA</t>
  </si>
  <si>
    <t>DESCRIÇÃO</t>
  </si>
  <si>
    <t>ALÍQUOTA</t>
  </si>
  <si>
    <t>BASE DE CÁLCULO</t>
  </si>
  <si>
    <t>VALOR</t>
  </si>
  <si>
    <t>ICMS (POR DENTRO)</t>
  </si>
  <si>
    <t>CBS</t>
  </si>
  <si>
    <t>IBS (IBSUF + IBSMUN)</t>
  </si>
  <si>
    <t>IS (IMPOSTO SELETIVO)</t>
  </si>
  <si>
    <t>TOTAL DA NOTA</t>
  </si>
  <si>
    <t>vICMS</t>
  </si>
  <si>
    <t>vCBS</t>
  </si>
  <si>
    <t>vIS</t>
  </si>
  <si>
    <t>vIBSUF</t>
  </si>
  <si>
    <t>PIS(POR DENTRO)</t>
  </si>
  <si>
    <t>COFINS (POR DENTRO)</t>
  </si>
  <si>
    <t>vPIS</t>
  </si>
  <si>
    <t>vCOFINS</t>
  </si>
  <si>
    <t>TAG 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</si>
</sst>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9" fontId="0" fillId="0" borderId="0" xfId="0" applyNumberFormat="1"/>
    <xf numFmtId="44" fontId="0" fillId="0" borderId="0" xfId="0" applyNumberFormat="1"/>
    <xf numFmtId="0" fontId="2" fillId="0" borderId="0" xfId="0" applyFont="1" applyAlignment="1">
      <alignment horizontal="center"/>
    </xf>
    <xf numFmtId="44" fontId="2" fillId="0" borderId="0" xfId="0" applyNumberFormat="1" applyFont="1" applyAlignment="1">
      <alignment horizontal="center"/>
    </xf>
    <xf numFmtId="164" fontId="0" fillId="0" borderId="0" xfId="0" applyNumberFormat="1"/>
    <xf numFmtId="10" fontId="0" fillId="0" borderId="0" xfId="0" applyNumberFormat="1"/>
    <xf numFmtId="0" fontId="3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95FD-36A2-4D77-9272-D560CC3F2206}">
  <dimension ref="A3:E12"/>
  <sheetViews>
    <sheetView tabSelected="1" zoomScale="175" zoomScaleNormal="175" workbookViewId="0">
      <selection activeCell="D15" sqref="D15"/>
    </sheetView>
  </sheetViews>
  <sheetFormatPr defaultRowHeight="15" x14ac:dyDescent="0.25"/>
  <cols>
    <col min="1" max="1" width="22" bestFit="1" customWidth="1"/>
    <col min="2" max="2" width="11.5703125" customWidth="1"/>
    <col min="3" max="3" width="18" bestFit="1" customWidth="1"/>
    <col min="4" max="4" width="12.7109375" bestFit="1" customWidth="1"/>
  </cols>
  <sheetData>
    <row r="3" spans="1:5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18</v>
      </c>
    </row>
    <row r="4" spans="1:5" x14ac:dyDescent="0.25">
      <c r="A4" t="s">
        <v>0</v>
      </c>
      <c r="D4" s="1">
        <v>1000</v>
      </c>
    </row>
    <row r="5" spans="1:5" x14ac:dyDescent="0.25">
      <c r="A5" t="s">
        <v>5</v>
      </c>
      <c r="B5" s="2">
        <v>0.18</v>
      </c>
      <c r="C5" s="1">
        <f>D4</f>
        <v>1000</v>
      </c>
      <c r="D5" s="3">
        <f t="shared" ref="D5:D10" si="0">C5*B5</f>
        <v>180</v>
      </c>
      <c r="E5" t="s">
        <v>10</v>
      </c>
    </row>
    <row r="6" spans="1:5" x14ac:dyDescent="0.25">
      <c r="A6" t="s">
        <v>14</v>
      </c>
      <c r="B6" s="7">
        <v>7.6499999999999999E-2</v>
      </c>
      <c r="C6" s="1">
        <f>D4-D5</f>
        <v>820</v>
      </c>
      <c r="D6" s="3">
        <f t="shared" si="0"/>
        <v>62.73</v>
      </c>
      <c r="E6" t="s">
        <v>16</v>
      </c>
    </row>
    <row r="7" spans="1:5" x14ac:dyDescent="0.25">
      <c r="A7" t="s">
        <v>15</v>
      </c>
      <c r="B7" s="6">
        <v>0.03</v>
      </c>
      <c r="C7" s="1">
        <f>D4-D5</f>
        <v>820</v>
      </c>
      <c r="D7" s="3">
        <f t="shared" si="0"/>
        <v>24.599999999999998</v>
      </c>
      <c r="E7" t="s">
        <v>17</v>
      </c>
    </row>
    <row r="8" spans="1:5" x14ac:dyDescent="0.25">
      <c r="A8" t="s">
        <v>6</v>
      </c>
      <c r="B8" s="2">
        <v>0.05</v>
      </c>
      <c r="C8" s="3">
        <f>D4-D5-D6-D7+D10</f>
        <v>802.67</v>
      </c>
      <c r="D8" s="3">
        <f t="shared" si="0"/>
        <v>40.133499999999998</v>
      </c>
      <c r="E8" t="s">
        <v>11</v>
      </c>
    </row>
    <row r="9" spans="1:5" x14ac:dyDescent="0.25">
      <c r="A9" t="s">
        <v>7</v>
      </c>
      <c r="B9" s="2">
        <v>0.21</v>
      </c>
      <c r="C9" s="3">
        <f>C8</f>
        <v>802.67</v>
      </c>
      <c r="D9" s="3">
        <f t="shared" si="0"/>
        <v>168.5607</v>
      </c>
      <c r="E9" t="s">
        <v>13</v>
      </c>
    </row>
    <row r="10" spans="1:5" x14ac:dyDescent="0.25">
      <c r="A10" t="s">
        <v>8</v>
      </c>
      <c r="B10" s="2">
        <v>7.0000000000000007E-2</v>
      </c>
      <c r="C10" s="3">
        <f>D4</f>
        <v>1000</v>
      </c>
      <c r="D10" s="3">
        <f t="shared" si="0"/>
        <v>70</v>
      </c>
      <c r="E10" t="s">
        <v>12</v>
      </c>
    </row>
    <row r="12" spans="1:5" x14ac:dyDescent="0.25">
      <c r="A12" s="4" t="s">
        <v>9</v>
      </c>
      <c r="B12" s="4"/>
      <c r="C12" s="4"/>
      <c r="D12" s="5">
        <f>D4+D8+D9+D10</f>
        <v>1278.6941999999999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Polo Viana</dc:creator>
  <cp:lastModifiedBy>Marco Polo Viana</cp:lastModifiedBy>
  <dcterms:created xsi:type="dcterms:W3CDTF">2025-04-13T16:13:29Z</dcterms:created>
  <dcterms:modified xsi:type="dcterms:W3CDTF">2025-04-30T22:41:42Z</dcterms:modified>
</cp:coreProperties>
</file>